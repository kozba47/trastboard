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oil_dashboard\data\"/>
    </mc:Choice>
  </mc:AlternateContent>
  <bookViews>
    <workbookView xWindow="0" yWindow="0" windowWidth="19200" windowHeight="7785" activeTab="1"/>
  </bookViews>
  <sheets>
    <sheet name="Курсы" sheetId="1" r:id="rId1"/>
    <sheet name="Конкуренты" sheetId="2" r:id="rId2"/>
    <sheet name="НПЗ" sheetId="3" r:id="rId3"/>
    <sheet name="Петропавловск-Камчатский" sheetId="4" r:id="rId4"/>
  </sheets>
  <definedNames>
    <definedName name="_xlnm._FilterDatabase" localSheetId="1" hidden="1">Конкуренты!$A$1:$I$1</definedName>
  </definedNames>
  <calcPr calcId="162913"/>
</workbook>
</file>

<file path=xl/calcChain.xml><?xml version="1.0" encoding="utf-8"?>
<calcChain xmlns="http://schemas.openxmlformats.org/spreadsheetml/2006/main">
  <c r="G4" i="3" l="1"/>
  <c r="G3" i="3"/>
  <c r="G2" i="3"/>
</calcChain>
</file>

<file path=xl/sharedStrings.xml><?xml version="1.0" encoding="utf-8"?>
<sst xmlns="http://schemas.openxmlformats.org/spreadsheetml/2006/main" count="447" uniqueCount="43">
  <si>
    <t>Дата</t>
  </si>
  <si>
    <t>Курс доллара, ₽</t>
  </si>
  <si>
    <t>Brent, $/bbl</t>
  </si>
  <si>
    <t>Продукт</t>
  </si>
  <si>
    <t>ХТК</t>
  </si>
  <si>
    <t>ННК</t>
  </si>
  <si>
    <t>СибПром</t>
  </si>
  <si>
    <t>АльфаТ</t>
  </si>
  <si>
    <t>Биржа</t>
  </si>
  <si>
    <t>Газпром</t>
  </si>
  <si>
    <t>Аргус</t>
  </si>
  <si>
    <t>М100 1,5%</t>
  </si>
  <si>
    <t>...</t>
  </si>
  <si>
    <t>М100 0,5%</t>
  </si>
  <si>
    <t>Ф-5 0,5 (ТНТ)</t>
  </si>
  <si>
    <t>RMD-80</t>
  </si>
  <si>
    <t>ТСТ 0,3%</t>
  </si>
  <si>
    <t>ДТ-Е (ТНЗ)</t>
  </si>
  <si>
    <t>ДТЗ</t>
  </si>
  <si>
    <t>ДТЛ</t>
  </si>
  <si>
    <t>ДТА</t>
  </si>
  <si>
    <t>ТСМ акциз</t>
  </si>
  <si>
    <t>Направление</t>
  </si>
  <si>
    <t xml:space="preserve">Продукт </t>
  </si>
  <si>
    <t>Цена на заводе, ₽/т</t>
  </si>
  <si>
    <t>Цена на Рыбниках, ₽/т</t>
  </si>
  <si>
    <t>Объем</t>
  </si>
  <si>
    <t>Вагоны</t>
  </si>
  <si>
    <t>Ачинский НПЗ</t>
  </si>
  <si>
    <t>М-100 1,5</t>
  </si>
  <si>
    <t>Ангарский НПЗ</t>
  </si>
  <si>
    <t>РНКПЗ</t>
  </si>
  <si>
    <t>Комбинатская</t>
  </si>
  <si>
    <t>Свердловская</t>
  </si>
  <si>
    <t>Рынок, ₽/т</t>
  </si>
  <si>
    <t>Источник</t>
  </si>
  <si>
    <t>Комментарий</t>
  </si>
  <si>
    <t>АИ-92</t>
  </si>
  <si>
    <t>Минус 300 р.</t>
  </si>
  <si>
    <t>АИ-95</t>
  </si>
  <si>
    <t>Без изменений</t>
  </si>
  <si>
    <t>АИ-98</t>
  </si>
  <si>
    <t>Минус 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</si>
</sst>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43" fontId="0" fillId="0" borderId="0" xfId="1" applyFont="1"/>
    <xf numFmtId="43" fontId="0" fillId="0" borderId="0" xfId="0" applyNumberFormat="1"/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"/>
    </sheetView>
  </sheetViews>
  <sheetFormatPr defaultRowHeight="14.25" x14ac:dyDescent="0.45"/>
  <cols>
    <col min="1" max="1" width="9.6640625" bestFit="1" customWidth="1"/>
    <col min="2" max="2" width="13.86328125" bestFit="1" customWidth="1"/>
    <col min="3" max="3" width="10.19921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45995</v>
      </c>
      <c r="B2">
        <v>75.658000000000001</v>
      </c>
      <c r="C2">
        <v>63.36</v>
      </c>
    </row>
    <row r="3" spans="1:3" x14ac:dyDescent="0.45">
      <c r="A3" s="1">
        <v>45996</v>
      </c>
      <c r="B3">
        <v>75.658000000000001</v>
      </c>
      <c r="C3">
        <v>63.36</v>
      </c>
    </row>
    <row r="4" spans="1:3" x14ac:dyDescent="0.45">
      <c r="A4" s="1">
        <v>45999</v>
      </c>
      <c r="B4">
        <v>76.09</v>
      </c>
      <c r="C4">
        <v>63.74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1" topLeftCell="A11" activePane="bottomLeft" state="frozen"/>
      <selection pane="bottomLeft" activeCell="B28" sqref="B28"/>
    </sheetView>
  </sheetViews>
  <sheetFormatPr defaultRowHeight="14.25" x14ac:dyDescent="0.45"/>
  <cols>
    <col min="1" max="1" width="9.6640625" bestFit="1" customWidth="1"/>
    <col min="2" max="2" width="14.86328125" customWidth="1"/>
    <col min="3" max="3" width="5.73046875" bestFit="1" customWidth="1"/>
    <col min="4" max="4" width="7.59765625" customWidth="1"/>
    <col min="5" max="5" width="8.33203125" bestFit="1" customWidth="1"/>
    <col min="6" max="6" width="6.86328125" bestFit="1" customWidth="1"/>
    <col min="7" max="7" width="6.73046875" bestFit="1" customWidth="1"/>
    <col min="8" max="8" width="7.59765625" bestFit="1" customWidth="1"/>
    <col min="9" max="9" width="5.73046875" bestFit="1" customWidth="1"/>
  </cols>
  <sheetData>
    <row r="1" spans="1:9" x14ac:dyDescent="0.45">
      <c r="A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x14ac:dyDescent="0.45">
      <c r="A2" s="1">
        <v>45995</v>
      </c>
      <c r="B2" s="2" t="s">
        <v>11</v>
      </c>
      <c r="C2" s="2" t="s">
        <v>12</v>
      </c>
      <c r="D2" s="2">
        <v>47000</v>
      </c>
      <c r="E2" s="2">
        <v>41000</v>
      </c>
      <c r="F2" s="2">
        <v>45000</v>
      </c>
      <c r="G2" s="2">
        <v>38151</v>
      </c>
      <c r="H2" s="2" t="s">
        <v>12</v>
      </c>
      <c r="I2" s="2">
        <v>42750</v>
      </c>
    </row>
    <row r="3" spans="1:9" x14ac:dyDescent="0.45">
      <c r="A3" s="1">
        <v>45995</v>
      </c>
      <c r="B3" s="2" t="s">
        <v>13</v>
      </c>
      <c r="C3" s="2">
        <v>57500</v>
      </c>
      <c r="D3" s="2" t="s">
        <v>12</v>
      </c>
      <c r="E3" s="2">
        <v>59000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x14ac:dyDescent="0.45">
      <c r="A4" s="1">
        <v>45995</v>
      </c>
      <c r="B4" s="2" t="s">
        <v>14</v>
      </c>
      <c r="C4" s="2" t="s">
        <v>12</v>
      </c>
      <c r="D4" s="2">
        <v>57000</v>
      </c>
      <c r="E4" s="2">
        <v>61000</v>
      </c>
      <c r="F4" s="2">
        <v>53000</v>
      </c>
      <c r="G4" s="2">
        <v>52629</v>
      </c>
      <c r="H4" s="2" t="s">
        <v>12</v>
      </c>
      <c r="I4" s="2">
        <v>53000</v>
      </c>
    </row>
    <row r="5" spans="1:9" x14ac:dyDescent="0.45">
      <c r="A5" s="1">
        <v>45995</v>
      </c>
      <c r="B5" s="2" t="s">
        <v>15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</row>
    <row r="6" spans="1:9" x14ac:dyDescent="0.45">
      <c r="A6" s="1">
        <v>45995</v>
      </c>
      <c r="B6" s="2" t="s">
        <v>16</v>
      </c>
      <c r="C6" s="2" t="s">
        <v>12</v>
      </c>
      <c r="D6" s="2" t="s">
        <v>12</v>
      </c>
      <c r="E6" s="2" t="s">
        <v>12</v>
      </c>
      <c r="F6" s="2" t="s">
        <v>12</v>
      </c>
      <c r="G6" s="2">
        <v>52710</v>
      </c>
      <c r="H6" s="2" t="s">
        <v>12</v>
      </c>
      <c r="I6" s="2" t="s">
        <v>12</v>
      </c>
    </row>
    <row r="7" spans="1:9" x14ac:dyDescent="0.45">
      <c r="A7" s="1">
        <v>45995</v>
      </c>
      <c r="B7" s="2" t="s">
        <v>17</v>
      </c>
      <c r="C7" s="2" t="s">
        <v>12</v>
      </c>
      <c r="D7" s="2" t="s">
        <v>12</v>
      </c>
      <c r="E7" s="2" t="s">
        <v>12</v>
      </c>
      <c r="F7" s="2" t="s">
        <v>12</v>
      </c>
      <c r="G7" s="2">
        <v>82546</v>
      </c>
      <c r="H7" s="2" t="s">
        <v>12</v>
      </c>
      <c r="I7" s="2" t="s">
        <v>12</v>
      </c>
    </row>
    <row r="8" spans="1:9" x14ac:dyDescent="0.45">
      <c r="A8" s="1">
        <v>45995</v>
      </c>
      <c r="B8" s="2" t="s">
        <v>18</v>
      </c>
      <c r="C8" s="2" t="s">
        <v>12</v>
      </c>
      <c r="D8" s="2">
        <v>105000</v>
      </c>
      <c r="E8" s="2" t="s">
        <v>12</v>
      </c>
      <c r="F8" s="2">
        <v>109000</v>
      </c>
      <c r="G8" s="2">
        <v>98040</v>
      </c>
      <c r="H8" s="2">
        <v>109737</v>
      </c>
      <c r="I8" s="2" t="s">
        <v>12</v>
      </c>
    </row>
    <row r="9" spans="1:9" x14ac:dyDescent="0.45">
      <c r="A9" s="1">
        <v>45995</v>
      </c>
      <c r="B9" s="2" t="s">
        <v>19</v>
      </c>
      <c r="C9" s="2">
        <v>88500</v>
      </c>
      <c r="D9" s="2">
        <v>86100</v>
      </c>
      <c r="E9" s="2">
        <v>87000</v>
      </c>
      <c r="F9" s="2">
        <v>90000</v>
      </c>
      <c r="G9" s="2">
        <v>81114</v>
      </c>
      <c r="H9" s="2" t="s">
        <v>12</v>
      </c>
      <c r="I9" s="2">
        <v>87000</v>
      </c>
    </row>
    <row r="10" spans="1:9" x14ac:dyDescent="0.45">
      <c r="A10" s="1">
        <v>45995</v>
      </c>
      <c r="B10" s="2" t="s">
        <v>20</v>
      </c>
      <c r="C10" s="2" t="s">
        <v>12</v>
      </c>
      <c r="D10" s="2" t="s">
        <v>12</v>
      </c>
      <c r="E10" s="2" t="s">
        <v>12</v>
      </c>
      <c r="F10" s="2">
        <v>113000</v>
      </c>
      <c r="G10" s="2">
        <v>105914</v>
      </c>
      <c r="H10" s="2" t="s">
        <v>12</v>
      </c>
      <c r="I10" s="2" t="s">
        <v>12</v>
      </c>
    </row>
    <row r="11" spans="1:9" x14ac:dyDescent="0.45">
      <c r="A11" s="1">
        <v>45995</v>
      </c>
      <c r="B11" s="2" t="s">
        <v>21</v>
      </c>
      <c r="C11" s="2">
        <v>98000</v>
      </c>
      <c r="D11" s="2">
        <v>91000</v>
      </c>
      <c r="E11" s="2" t="s">
        <v>12</v>
      </c>
      <c r="F11" s="2">
        <v>90000</v>
      </c>
      <c r="G11" s="2" t="s">
        <v>12</v>
      </c>
      <c r="H11" s="2">
        <v>91127</v>
      </c>
      <c r="I11" s="2">
        <v>86500</v>
      </c>
    </row>
    <row r="12" spans="1:9" x14ac:dyDescent="0.45">
      <c r="A12" s="1">
        <v>45996</v>
      </c>
      <c r="B12" s="2" t="s">
        <v>11</v>
      </c>
      <c r="C12" s="2" t="s">
        <v>12</v>
      </c>
      <c r="D12" s="2">
        <v>47000</v>
      </c>
      <c r="E12" s="2">
        <v>41000</v>
      </c>
      <c r="F12" s="2">
        <v>45000</v>
      </c>
      <c r="G12" s="2">
        <v>38151</v>
      </c>
      <c r="H12" s="2" t="s">
        <v>12</v>
      </c>
      <c r="I12" s="2">
        <v>42750</v>
      </c>
    </row>
    <row r="13" spans="1:9" x14ac:dyDescent="0.45">
      <c r="A13" s="1">
        <v>45996</v>
      </c>
      <c r="B13" s="2" t="s">
        <v>13</v>
      </c>
      <c r="C13" s="2">
        <v>57500</v>
      </c>
      <c r="D13" s="2" t="s">
        <v>12</v>
      </c>
      <c r="E13" s="2">
        <v>59000</v>
      </c>
      <c r="F13" s="2" t="s">
        <v>12</v>
      </c>
      <c r="G13" s="2" t="s">
        <v>12</v>
      </c>
      <c r="H13" s="2" t="s">
        <v>12</v>
      </c>
      <c r="I13" s="2" t="s">
        <v>12</v>
      </c>
    </row>
    <row r="14" spans="1:9" x14ac:dyDescent="0.45">
      <c r="A14" s="1">
        <v>45996</v>
      </c>
      <c r="B14" s="2" t="s">
        <v>14</v>
      </c>
      <c r="C14" s="2" t="s">
        <v>12</v>
      </c>
      <c r="D14" s="2">
        <v>57000</v>
      </c>
      <c r="E14" s="2">
        <v>61000</v>
      </c>
      <c r="F14" s="2">
        <v>53000</v>
      </c>
      <c r="G14" s="2">
        <v>52629</v>
      </c>
      <c r="H14" s="2" t="s">
        <v>12</v>
      </c>
      <c r="I14" s="2">
        <v>53000</v>
      </c>
    </row>
    <row r="15" spans="1:9" x14ac:dyDescent="0.45">
      <c r="A15" s="1">
        <v>45996</v>
      </c>
      <c r="B15" s="2" t="s">
        <v>15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</row>
    <row r="16" spans="1:9" x14ac:dyDescent="0.45">
      <c r="A16" s="1">
        <v>45996</v>
      </c>
      <c r="B16" s="2" t="s">
        <v>16</v>
      </c>
      <c r="C16" s="2" t="s">
        <v>12</v>
      </c>
      <c r="D16" s="2" t="s">
        <v>12</v>
      </c>
      <c r="E16" s="2" t="s">
        <v>12</v>
      </c>
      <c r="F16" s="2" t="s">
        <v>12</v>
      </c>
      <c r="G16" s="2">
        <v>52710</v>
      </c>
      <c r="H16" s="2" t="s">
        <v>12</v>
      </c>
      <c r="I16" s="2" t="s">
        <v>12</v>
      </c>
    </row>
    <row r="17" spans="1:9" x14ac:dyDescent="0.45">
      <c r="A17" s="1">
        <v>45996</v>
      </c>
      <c r="B17" s="2" t="s">
        <v>17</v>
      </c>
      <c r="C17" s="2" t="s">
        <v>12</v>
      </c>
      <c r="D17" s="2" t="s">
        <v>12</v>
      </c>
      <c r="E17" s="2" t="s">
        <v>12</v>
      </c>
      <c r="F17" s="2" t="s">
        <v>12</v>
      </c>
      <c r="G17" s="2">
        <v>82546</v>
      </c>
      <c r="H17" s="2" t="s">
        <v>12</v>
      </c>
      <c r="I17" s="2" t="s">
        <v>12</v>
      </c>
    </row>
    <row r="18" spans="1:9" x14ac:dyDescent="0.45">
      <c r="A18" s="1">
        <v>45996</v>
      </c>
      <c r="B18" s="2" t="s">
        <v>18</v>
      </c>
      <c r="C18" s="2" t="s">
        <v>12</v>
      </c>
      <c r="D18" s="2">
        <v>105000</v>
      </c>
      <c r="E18" s="2" t="s">
        <v>12</v>
      </c>
      <c r="F18" s="2">
        <v>109000</v>
      </c>
      <c r="G18" s="2">
        <v>98040</v>
      </c>
      <c r="H18" s="2">
        <v>109737</v>
      </c>
      <c r="I18" s="2" t="s">
        <v>12</v>
      </c>
    </row>
    <row r="19" spans="1:9" x14ac:dyDescent="0.45">
      <c r="A19" s="1">
        <v>45996</v>
      </c>
      <c r="B19" s="2" t="s">
        <v>19</v>
      </c>
      <c r="C19" s="2">
        <v>88500</v>
      </c>
      <c r="D19" s="2">
        <v>86100</v>
      </c>
      <c r="E19" s="2">
        <v>87000</v>
      </c>
      <c r="F19" s="2">
        <v>90000</v>
      </c>
      <c r="G19" s="2">
        <v>81114</v>
      </c>
      <c r="H19" s="2" t="s">
        <v>12</v>
      </c>
      <c r="I19" s="2">
        <v>87000</v>
      </c>
    </row>
    <row r="20" spans="1:9" x14ac:dyDescent="0.45">
      <c r="A20" s="1">
        <v>45996</v>
      </c>
      <c r="B20" s="2" t="s">
        <v>20</v>
      </c>
      <c r="C20" s="2" t="s">
        <v>12</v>
      </c>
      <c r="D20" s="2" t="s">
        <v>12</v>
      </c>
      <c r="E20" s="2" t="s">
        <v>12</v>
      </c>
      <c r="F20" s="2">
        <v>113000</v>
      </c>
      <c r="G20" s="2">
        <v>105914</v>
      </c>
      <c r="H20" s="2" t="s">
        <v>12</v>
      </c>
      <c r="I20" s="2" t="s">
        <v>12</v>
      </c>
    </row>
    <row r="21" spans="1:9" x14ac:dyDescent="0.45">
      <c r="A21" s="1">
        <v>45996</v>
      </c>
      <c r="B21" s="2" t="s">
        <v>21</v>
      </c>
      <c r="C21" s="2">
        <v>98000</v>
      </c>
      <c r="D21" s="2">
        <v>91000</v>
      </c>
      <c r="E21" s="2" t="s">
        <v>12</v>
      </c>
      <c r="F21" s="2">
        <v>90000</v>
      </c>
      <c r="G21" s="2" t="s">
        <v>12</v>
      </c>
      <c r="H21" s="2">
        <v>91127</v>
      </c>
      <c r="I21" s="2">
        <v>86500</v>
      </c>
    </row>
    <row r="22" spans="1:9" x14ac:dyDescent="0.45">
      <c r="A22" s="1">
        <v>45999</v>
      </c>
      <c r="B22" s="2" t="s">
        <v>11</v>
      </c>
      <c r="C22" s="2" t="s">
        <v>12</v>
      </c>
      <c r="D22" s="2">
        <v>47000</v>
      </c>
      <c r="E22" s="2">
        <v>41000</v>
      </c>
      <c r="F22" s="2">
        <v>41000</v>
      </c>
      <c r="G22" s="2">
        <v>37938</v>
      </c>
      <c r="H22" s="2" t="s">
        <v>12</v>
      </c>
      <c r="I22" s="2">
        <v>42500</v>
      </c>
    </row>
    <row r="23" spans="1:9" x14ac:dyDescent="0.45">
      <c r="A23" s="1">
        <v>45999</v>
      </c>
      <c r="B23" s="2" t="s">
        <v>13</v>
      </c>
      <c r="C23" s="2">
        <v>57500</v>
      </c>
      <c r="D23" s="2" t="s">
        <v>12</v>
      </c>
      <c r="E23" s="2">
        <v>59000</v>
      </c>
      <c r="F23" s="2" t="s">
        <v>12</v>
      </c>
      <c r="G23" s="2" t="s">
        <v>12</v>
      </c>
      <c r="H23" s="2" t="s">
        <v>12</v>
      </c>
      <c r="I23" s="2" t="s">
        <v>12</v>
      </c>
    </row>
    <row r="24" spans="1:9" x14ac:dyDescent="0.45">
      <c r="A24" s="1">
        <v>45999</v>
      </c>
      <c r="B24" s="2" t="s">
        <v>14</v>
      </c>
      <c r="C24" s="2" t="s">
        <v>12</v>
      </c>
      <c r="D24" s="2">
        <v>57000</v>
      </c>
      <c r="E24" s="2">
        <v>61000</v>
      </c>
      <c r="F24" s="2">
        <v>53000</v>
      </c>
      <c r="G24" s="2">
        <v>52629</v>
      </c>
      <c r="H24" s="2" t="s">
        <v>12</v>
      </c>
      <c r="I24" s="2">
        <v>53000</v>
      </c>
    </row>
    <row r="25" spans="1:9" x14ac:dyDescent="0.45">
      <c r="A25" s="1">
        <v>45999</v>
      </c>
      <c r="B25" s="2" t="s">
        <v>15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12</v>
      </c>
    </row>
    <row r="26" spans="1:9" x14ac:dyDescent="0.45">
      <c r="A26" s="1">
        <v>45999</v>
      </c>
      <c r="B26" s="2" t="s">
        <v>16</v>
      </c>
      <c r="C26" s="2" t="s">
        <v>12</v>
      </c>
      <c r="D26" s="2" t="s">
        <v>12</v>
      </c>
      <c r="E26" s="2" t="s">
        <v>12</v>
      </c>
      <c r="F26" s="2" t="s">
        <v>12</v>
      </c>
      <c r="G26" s="2">
        <v>52710</v>
      </c>
      <c r="H26" s="2" t="s">
        <v>12</v>
      </c>
      <c r="I26" s="2" t="s">
        <v>12</v>
      </c>
    </row>
    <row r="27" spans="1:9" x14ac:dyDescent="0.45">
      <c r="A27" s="1">
        <v>45999</v>
      </c>
      <c r="B27" s="2" t="s">
        <v>17</v>
      </c>
      <c r="C27" s="2" t="s">
        <v>12</v>
      </c>
      <c r="D27" s="2" t="s">
        <v>12</v>
      </c>
      <c r="E27" s="2" t="s">
        <v>12</v>
      </c>
      <c r="F27" s="2" t="s">
        <v>12</v>
      </c>
      <c r="G27" s="2">
        <v>82546</v>
      </c>
      <c r="H27" s="2" t="s">
        <v>12</v>
      </c>
      <c r="I27" s="2" t="s">
        <v>12</v>
      </c>
    </row>
    <row r="28" spans="1:9" x14ac:dyDescent="0.45">
      <c r="A28" s="1">
        <v>45999</v>
      </c>
      <c r="B28" s="2" t="s">
        <v>18</v>
      </c>
      <c r="C28" s="2" t="s">
        <v>12</v>
      </c>
      <c r="D28" s="2">
        <v>105000</v>
      </c>
      <c r="E28" s="2" t="s">
        <v>12</v>
      </c>
      <c r="F28" s="2">
        <v>109000</v>
      </c>
      <c r="G28" s="2">
        <v>95885</v>
      </c>
      <c r="H28" s="2">
        <v>109737</v>
      </c>
      <c r="I28" s="2" t="s">
        <v>12</v>
      </c>
    </row>
    <row r="29" spans="1:9" x14ac:dyDescent="0.45">
      <c r="A29" s="1">
        <v>45999</v>
      </c>
      <c r="B29" s="2" t="s">
        <v>19</v>
      </c>
      <c r="C29" s="2">
        <v>88500</v>
      </c>
      <c r="D29" s="2">
        <v>86100</v>
      </c>
      <c r="E29" s="2">
        <v>87000</v>
      </c>
      <c r="F29" s="2">
        <v>90000</v>
      </c>
      <c r="G29" s="2">
        <v>79594</v>
      </c>
      <c r="H29" s="2" t="s">
        <v>12</v>
      </c>
      <c r="I29" s="2">
        <v>87000</v>
      </c>
    </row>
    <row r="30" spans="1:9" x14ac:dyDescent="0.45">
      <c r="A30" s="1">
        <v>45999</v>
      </c>
      <c r="B30" s="2" t="s">
        <v>20</v>
      </c>
      <c r="C30" s="2" t="s">
        <v>12</v>
      </c>
      <c r="D30" s="2" t="s">
        <v>12</v>
      </c>
      <c r="E30" s="2" t="s">
        <v>12</v>
      </c>
      <c r="F30" s="2">
        <v>113000</v>
      </c>
      <c r="G30" s="2">
        <v>99271</v>
      </c>
      <c r="H30" s="2" t="s">
        <v>12</v>
      </c>
      <c r="I30" s="2" t="s">
        <v>12</v>
      </c>
    </row>
    <row r="31" spans="1:9" x14ac:dyDescent="0.45">
      <c r="A31" s="1">
        <v>45999</v>
      </c>
      <c r="B31" s="2" t="s">
        <v>21</v>
      </c>
      <c r="C31" s="2">
        <v>98000</v>
      </c>
      <c r="D31" s="2">
        <v>91000</v>
      </c>
      <c r="E31" s="2" t="s">
        <v>12</v>
      </c>
      <c r="F31" s="2">
        <v>90000</v>
      </c>
      <c r="G31" s="2" t="s">
        <v>12</v>
      </c>
      <c r="H31" s="2">
        <v>91127</v>
      </c>
      <c r="I31" s="2">
        <v>86500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opLeftCell="A109" workbookViewId="0">
      <selection activeCell="B124" sqref="B124"/>
    </sheetView>
  </sheetViews>
  <sheetFormatPr defaultRowHeight="14.25" x14ac:dyDescent="0.45"/>
  <cols>
    <col min="1" max="1" width="16.53125" bestFit="1" customWidth="1"/>
    <col min="2" max="2" width="13.19921875" bestFit="1" customWidth="1"/>
    <col min="3" max="3" width="14.06640625" customWidth="1"/>
    <col min="4" max="4" width="17.06640625" bestFit="1" customWidth="1"/>
    <col min="5" max="5" width="19.46484375" bestFit="1" customWidth="1"/>
    <col min="6" max="6" width="11.33203125" bestFit="1" customWidth="1"/>
    <col min="7" max="7" width="13.265625" bestFit="1" customWidth="1"/>
    <col min="8" max="8" width="19.9296875" customWidth="1"/>
  </cols>
  <sheetData>
    <row r="1" spans="1:7" x14ac:dyDescent="0.4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45">
      <c r="A2" s="1">
        <v>45996</v>
      </c>
      <c r="B2" t="s">
        <v>32</v>
      </c>
      <c r="C2" t="s">
        <v>18</v>
      </c>
      <c r="D2" s="3">
        <v>92300</v>
      </c>
      <c r="E2" s="3">
        <v>95988</v>
      </c>
      <c r="F2" s="3">
        <v>3315</v>
      </c>
      <c r="G2" s="4">
        <f>F2/65</f>
        <v>51</v>
      </c>
    </row>
    <row r="3" spans="1:7" x14ac:dyDescent="0.45">
      <c r="A3" s="1">
        <v>45996</v>
      </c>
      <c r="B3" t="s">
        <v>33</v>
      </c>
      <c r="C3" t="s">
        <v>20</v>
      </c>
      <c r="D3" s="3">
        <v>97425</v>
      </c>
      <c r="E3" s="3">
        <v>102384</v>
      </c>
      <c r="F3" s="3">
        <v>2730</v>
      </c>
      <c r="G3" s="4">
        <f>F3/65</f>
        <v>42</v>
      </c>
    </row>
    <row r="4" spans="1:7" x14ac:dyDescent="0.45">
      <c r="A4" s="1">
        <v>45996</v>
      </c>
      <c r="B4" t="s">
        <v>32</v>
      </c>
      <c r="C4" t="s">
        <v>19</v>
      </c>
      <c r="D4" s="3">
        <v>77239</v>
      </c>
      <c r="E4" s="3">
        <v>81292</v>
      </c>
      <c r="F4" s="3">
        <v>1365</v>
      </c>
      <c r="G4" s="4">
        <f>F4/65</f>
        <v>21</v>
      </c>
    </row>
    <row r="5" spans="1:7" x14ac:dyDescent="0.45">
      <c r="A5" s="5">
        <v>45942</v>
      </c>
      <c r="B5" t="s">
        <v>28</v>
      </c>
      <c r="C5" t="s">
        <v>29</v>
      </c>
      <c r="D5">
        <v>32285</v>
      </c>
      <c r="E5">
        <v>49956.59671232877</v>
      </c>
      <c r="F5">
        <v>1235</v>
      </c>
      <c r="G5">
        <v>19</v>
      </c>
    </row>
    <row r="6" spans="1:7" x14ac:dyDescent="0.45">
      <c r="A6" s="5">
        <v>45943</v>
      </c>
      <c r="B6" t="s">
        <v>28</v>
      </c>
      <c r="C6" t="s">
        <v>29</v>
      </c>
      <c r="D6">
        <v>32018</v>
      </c>
      <c r="E6">
        <v>49682.223123287673</v>
      </c>
      <c r="F6">
        <v>1040</v>
      </c>
      <c r="G6">
        <v>16</v>
      </c>
    </row>
    <row r="7" spans="1:7" x14ac:dyDescent="0.45">
      <c r="A7" s="5">
        <v>45944</v>
      </c>
      <c r="B7" t="s">
        <v>28</v>
      </c>
      <c r="C7" t="s">
        <v>29</v>
      </c>
      <c r="D7">
        <v>31114</v>
      </c>
      <c r="E7">
        <v>48753.2578630137</v>
      </c>
      <c r="F7">
        <v>455</v>
      </c>
      <c r="G7">
        <v>7</v>
      </c>
    </row>
    <row r="8" spans="1:7" x14ac:dyDescent="0.45">
      <c r="A8" s="5">
        <v>45945</v>
      </c>
      <c r="B8" t="s">
        <v>28</v>
      </c>
      <c r="C8" t="s">
        <v>29</v>
      </c>
      <c r="D8">
        <v>30800</v>
      </c>
      <c r="E8">
        <v>48430.586301369862</v>
      </c>
      <c r="F8">
        <v>1235</v>
      </c>
      <c r="G8">
        <v>19</v>
      </c>
    </row>
    <row r="9" spans="1:7" x14ac:dyDescent="0.45">
      <c r="A9" s="5">
        <v>45946</v>
      </c>
      <c r="B9" t="s">
        <v>28</v>
      </c>
      <c r="C9" t="s">
        <v>29</v>
      </c>
      <c r="D9">
        <v>31250</v>
      </c>
      <c r="E9">
        <v>48893.013698630137</v>
      </c>
      <c r="F9">
        <v>910</v>
      </c>
      <c r="G9">
        <v>14</v>
      </c>
    </row>
    <row r="10" spans="1:7" x14ac:dyDescent="0.45">
      <c r="A10" s="5">
        <v>45947</v>
      </c>
      <c r="B10" t="s">
        <v>28</v>
      </c>
      <c r="C10" t="s">
        <v>29</v>
      </c>
      <c r="D10">
        <v>30700</v>
      </c>
      <c r="E10">
        <v>48327.824657534249</v>
      </c>
      <c r="F10">
        <v>650</v>
      </c>
      <c r="G10">
        <v>10</v>
      </c>
    </row>
    <row r="11" spans="1:7" x14ac:dyDescent="0.45">
      <c r="A11" s="5">
        <v>45950</v>
      </c>
      <c r="B11" t="s">
        <v>28</v>
      </c>
      <c r="C11" t="s">
        <v>29</v>
      </c>
      <c r="D11">
        <v>29400</v>
      </c>
      <c r="E11">
        <v>46991.923287671227</v>
      </c>
      <c r="F11">
        <v>325</v>
      </c>
      <c r="G11">
        <v>5</v>
      </c>
    </row>
    <row r="12" spans="1:7" x14ac:dyDescent="0.45">
      <c r="A12" s="5">
        <v>45951</v>
      </c>
      <c r="B12" t="s">
        <v>28</v>
      </c>
      <c r="C12" t="s">
        <v>29</v>
      </c>
      <c r="D12">
        <v>28600</v>
      </c>
      <c r="E12">
        <v>46169.830136986297</v>
      </c>
      <c r="F12">
        <v>585</v>
      </c>
      <c r="G12">
        <v>9</v>
      </c>
    </row>
    <row r="13" spans="1:7" x14ac:dyDescent="0.45">
      <c r="A13" s="5">
        <v>45952</v>
      </c>
      <c r="B13" t="s">
        <v>28</v>
      </c>
      <c r="C13" t="s">
        <v>29</v>
      </c>
      <c r="D13">
        <v>28800</v>
      </c>
      <c r="E13">
        <v>46375.353424657529</v>
      </c>
      <c r="F13">
        <v>520</v>
      </c>
      <c r="G13">
        <v>8</v>
      </c>
    </row>
    <row r="14" spans="1:7" x14ac:dyDescent="0.45">
      <c r="A14" s="5">
        <v>45953</v>
      </c>
      <c r="B14" t="s">
        <v>28</v>
      </c>
      <c r="C14" t="s">
        <v>29</v>
      </c>
      <c r="D14">
        <v>28800</v>
      </c>
      <c r="E14">
        <v>46375.353424657529</v>
      </c>
      <c r="F14">
        <v>585</v>
      </c>
      <c r="G14">
        <v>9</v>
      </c>
    </row>
    <row r="15" spans="1:7" x14ac:dyDescent="0.45">
      <c r="A15" s="5">
        <v>45954</v>
      </c>
      <c r="B15" t="s">
        <v>28</v>
      </c>
      <c r="C15" t="s">
        <v>29</v>
      </c>
      <c r="D15">
        <v>28600</v>
      </c>
      <c r="E15">
        <v>46169.830136986297</v>
      </c>
      <c r="F15">
        <v>1040</v>
      </c>
      <c r="G15">
        <v>16</v>
      </c>
    </row>
    <row r="16" spans="1:7" x14ac:dyDescent="0.45">
      <c r="A16" s="5">
        <v>45957</v>
      </c>
      <c r="B16" t="s">
        <v>28</v>
      </c>
      <c r="C16" t="s">
        <v>29</v>
      </c>
      <c r="D16">
        <v>27700</v>
      </c>
      <c r="E16">
        <v>45244.975342465747</v>
      </c>
      <c r="F16">
        <v>585</v>
      </c>
      <c r="G16">
        <v>9</v>
      </c>
    </row>
    <row r="17" spans="1:7" x14ac:dyDescent="0.45">
      <c r="A17" s="5">
        <v>45958</v>
      </c>
      <c r="B17" t="s">
        <v>28</v>
      </c>
      <c r="C17" t="s">
        <v>29</v>
      </c>
      <c r="D17">
        <v>27200</v>
      </c>
      <c r="E17">
        <v>44731.167123287669</v>
      </c>
      <c r="F17">
        <v>325</v>
      </c>
      <c r="G17">
        <v>5</v>
      </c>
    </row>
    <row r="18" spans="1:7" x14ac:dyDescent="0.45">
      <c r="A18" s="5">
        <v>45959</v>
      </c>
      <c r="B18" t="s">
        <v>28</v>
      </c>
      <c r="C18" t="s">
        <v>29</v>
      </c>
      <c r="D18">
        <v>26300</v>
      </c>
      <c r="E18">
        <v>43806.312328767119</v>
      </c>
      <c r="F18">
        <v>260</v>
      </c>
      <c r="G18">
        <v>4</v>
      </c>
    </row>
    <row r="19" spans="1:7" x14ac:dyDescent="0.45">
      <c r="A19" s="5">
        <v>45960</v>
      </c>
      <c r="B19" t="s">
        <v>28</v>
      </c>
      <c r="C19" t="s">
        <v>29</v>
      </c>
      <c r="D19">
        <v>24500</v>
      </c>
      <c r="E19">
        <v>41956.602739726033</v>
      </c>
      <c r="F19">
        <v>845</v>
      </c>
      <c r="G19">
        <v>13</v>
      </c>
    </row>
    <row r="20" spans="1:7" x14ac:dyDescent="0.45">
      <c r="A20" s="5">
        <v>45961</v>
      </c>
      <c r="B20" t="s">
        <v>28</v>
      </c>
      <c r="C20" t="s">
        <v>29</v>
      </c>
      <c r="D20">
        <v>24500</v>
      </c>
      <c r="E20">
        <v>41956.602739726033</v>
      </c>
      <c r="F20">
        <v>1495</v>
      </c>
      <c r="G20">
        <v>23</v>
      </c>
    </row>
    <row r="21" spans="1:7" x14ac:dyDescent="0.45">
      <c r="A21" s="5">
        <v>45962</v>
      </c>
      <c r="B21" t="s">
        <v>28</v>
      </c>
      <c r="C21" t="s">
        <v>29</v>
      </c>
      <c r="D21">
        <v>23000</v>
      </c>
      <c r="E21">
        <v>40415.178082191778</v>
      </c>
      <c r="F21">
        <v>390</v>
      </c>
      <c r="G21">
        <v>6</v>
      </c>
    </row>
    <row r="22" spans="1:7" x14ac:dyDescent="0.45">
      <c r="A22" s="5">
        <v>45966</v>
      </c>
      <c r="B22" t="s">
        <v>28</v>
      </c>
      <c r="C22" t="s">
        <v>29</v>
      </c>
      <c r="D22">
        <v>22300</v>
      </c>
      <c r="E22">
        <v>39695.846575342468</v>
      </c>
      <c r="F22">
        <v>585</v>
      </c>
      <c r="G22">
        <v>9</v>
      </c>
    </row>
    <row r="23" spans="1:7" x14ac:dyDescent="0.45">
      <c r="A23" s="5">
        <v>45967</v>
      </c>
      <c r="B23" t="s">
        <v>28</v>
      </c>
      <c r="C23" t="s">
        <v>29</v>
      </c>
      <c r="D23">
        <v>21500</v>
      </c>
      <c r="E23">
        <v>38873.753424657538</v>
      </c>
      <c r="F23">
        <v>585</v>
      </c>
      <c r="G23">
        <v>9</v>
      </c>
    </row>
    <row r="24" spans="1:7" x14ac:dyDescent="0.45">
      <c r="A24" s="5">
        <v>45968</v>
      </c>
      <c r="B24" t="s">
        <v>28</v>
      </c>
      <c r="C24" t="s">
        <v>29</v>
      </c>
      <c r="D24">
        <v>20300</v>
      </c>
      <c r="E24">
        <v>37640.613698630143</v>
      </c>
      <c r="F24">
        <v>585</v>
      </c>
      <c r="G24">
        <v>9</v>
      </c>
    </row>
    <row r="25" spans="1:7" x14ac:dyDescent="0.45">
      <c r="A25" s="5">
        <v>45971</v>
      </c>
      <c r="B25" t="s">
        <v>28</v>
      </c>
      <c r="C25" t="s">
        <v>29</v>
      </c>
      <c r="D25">
        <v>20000</v>
      </c>
      <c r="E25">
        <v>37332.328767123283</v>
      </c>
      <c r="F25">
        <v>650</v>
      </c>
      <c r="G25">
        <v>10</v>
      </c>
    </row>
    <row r="26" spans="1:7" x14ac:dyDescent="0.45">
      <c r="A26" s="5">
        <v>45972</v>
      </c>
      <c r="B26" t="s">
        <v>28</v>
      </c>
      <c r="C26" t="s">
        <v>29</v>
      </c>
      <c r="D26">
        <v>20070</v>
      </c>
      <c r="E26">
        <v>37404.261917808217</v>
      </c>
      <c r="F26">
        <v>1820</v>
      </c>
      <c r="G26">
        <v>28</v>
      </c>
    </row>
    <row r="27" spans="1:7" x14ac:dyDescent="0.45">
      <c r="A27" s="5">
        <v>45973</v>
      </c>
      <c r="B27" t="s">
        <v>28</v>
      </c>
      <c r="C27" t="s">
        <v>29</v>
      </c>
      <c r="D27">
        <v>18900</v>
      </c>
      <c r="E27">
        <v>36201.950684931508</v>
      </c>
      <c r="F27">
        <v>1040</v>
      </c>
      <c r="G27">
        <v>16</v>
      </c>
    </row>
    <row r="28" spans="1:7" x14ac:dyDescent="0.45">
      <c r="A28" s="5">
        <v>45974</v>
      </c>
      <c r="B28" t="s">
        <v>28</v>
      </c>
      <c r="C28" t="s">
        <v>29</v>
      </c>
      <c r="D28">
        <v>18000</v>
      </c>
      <c r="E28">
        <v>35277.095890410958</v>
      </c>
      <c r="F28">
        <v>325</v>
      </c>
      <c r="G28">
        <v>5</v>
      </c>
    </row>
    <row r="29" spans="1:7" x14ac:dyDescent="0.45">
      <c r="A29" s="5">
        <v>45975</v>
      </c>
      <c r="B29" t="s">
        <v>28</v>
      </c>
      <c r="C29" t="s">
        <v>29</v>
      </c>
      <c r="D29">
        <v>17500</v>
      </c>
      <c r="E29">
        <v>34763.287671232873</v>
      </c>
      <c r="F29">
        <v>1235</v>
      </c>
      <c r="G29">
        <v>19</v>
      </c>
    </row>
    <row r="30" spans="1:7" x14ac:dyDescent="0.45">
      <c r="A30" s="5">
        <v>45978</v>
      </c>
      <c r="B30" t="s">
        <v>28</v>
      </c>
      <c r="C30" t="s">
        <v>29</v>
      </c>
      <c r="D30">
        <v>17507</v>
      </c>
      <c r="E30">
        <v>34770.480986301372</v>
      </c>
      <c r="F30">
        <v>520</v>
      </c>
      <c r="G30">
        <v>8</v>
      </c>
    </row>
    <row r="31" spans="1:7" x14ac:dyDescent="0.45">
      <c r="A31" s="5">
        <v>45979</v>
      </c>
      <c r="B31" t="s">
        <v>28</v>
      </c>
      <c r="C31" t="s">
        <v>29</v>
      </c>
      <c r="D31">
        <v>18800</v>
      </c>
      <c r="E31">
        <v>37489.189041095888</v>
      </c>
      <c r="F31">
        <v>585</v>
      </c>
      <c r="G31">
        <v>9</v>
      </c>
    </row>
    <row r="32" spans="1:7" x14ac:dyDescent="0.45">
      <c r="A32" s="5">
        <v>45980</v>
      </c>
      <c r="B32" t="s">
        <v>28</v>
      </c>
      <c r="C32" t="s">
        <v>29</v>
      </c>
      <c r="D32">
        <v>19635</v>
      </c>
      <c r="E32">
        <v>38347.248767123288</v>
      </c>
      <c r="F32">
        <v>975</v>
      </c>
      <c r="G32">
        <v>15</v>
      </c>
    </row>
    <row r="33" spans="1:7" x14ac:dyDescent="0.45">
      <c r="A33" s="5">
        <v>45981</v>
      </c>
      <c r="B33" t="s">
        <v>28</v>
      </c>
      <c r="C33" t="s">
        <v>29</v>
      </c>
      <c r="D33">
        <v>19801</v>
      </c>
      <c r="E33">
        <v>38517.833095890412</v>
      </c>
      <c r="F33">
        <v>780</v>
      </c>
      <c r="G33">
        <v>12</v>
      </c>
    </row>
    <row r="34" spans="1:7" x14ac:dyDescent="0.45">
      <c r="A34" s="5">
        <v>45982</v>
      </c>
      <c r="B34" t="s">
        <v>28</v>
      </c>
      <c r="C34" t="s">
        <v>29</v>
      </c>
      <c r="D34">
        <v>21006</v>
      </c>
      <c r="E34">
        <v>39756.110904109592</v>
      </c>
      <c r="F34">
        <v>650</v>
      </c>
      <c r="G34">
        <v>10</v>
      </c>
    </row>
    <row r="35" spans="1:7" x14ac:dyDescent="0.45">
      <c r="A35" s="5">
        <v>45985</v>
      </c>
      <c r="B35" t="s">
        <v>28</v>
      </c>
      <c r="C35" t="s">
        <v>29</v>
      </c>
      <c r="D35">
        <v>20800</v>
      </c>
      <c r="E35">
        <v>39544.42191780822</v>
      </c>
      <c r="F35">
        <v>520</v>
      </c>
      <c r="G35">
        <v>8</v>
      </c>
    </row>
    <row r="36" spans="1:7" x14ac:dyDescent="0.45">
      <c r="A36" s="5">
        <v>45986</v>
      </c>
      <c r="B36" t="s">
        <v>28</v>
      </c>
      <c r="C36" t="s">
        <v>29</v>
      </c>
      <c r="D36">
        <v>20801</v>
      </c>
      <c r="E36">
        <v>39545.449534246567</v>
      </c>
      <c r="F36">
        <v>520</v>
      </c>
      <c r="G36">
        <v>8</v>
      </c>
    </row>
    <row r="37" spans="1:7" x14ac:dyDescent="0.45">
      <c r="A37" s="5">
        <v>45987</v>
      </c>
      <c r="B37" t="s">
        <v>28</v>
      </c>
      <c r="C37" t="s">
        <v>29</v>
      </c>
      <c r="D37">
        <v>20801</v>
      </c>
      <c r="E37">
        <v>39545.449534246567</v>
      </c>
      <c r="F37">
        <v>585</v>
      </c>
      <c r="G37">
        <v>9</v>
      </c>
    </row>
    <row r="38" spans="1:7" x14ac:dyDescent="0.45">
      <c r="A38" s="5">
        <v>45988</v>
      </c>
      <c r="B38" t="s">
        <v>28</v>
      </c>
      <c r="C38" t="s">
        <v>29</v>
      </c>
      <c r="D38">
        <v>20810</v>
      </c>
      <c r="E38">
        <v>39554.698082191782</v>
      </c>
      <c r="F38">
        <v>650</v>
      </c>
      <c r="G38">
        <v>10</v>
      </c>
    </row>
    <row r="39" spans="1:7" x14ac:dyDescent="0.45">
      <c r="A39" s="5">
        <v>45989</v>
      </c>
      <c r="B39" t="s">
        <v>28</v>
      </c>
      <c r="C39" t="s">
        <v>29</v>
      </c>
      <c r="D39">
        <v>19900</v>
      </c>
      <c r="E39">
        <v>38619.56712328767</v>
      </c>
      <c r="F39">
        <v>520</v>
      </c>
      <c r="G39">
        <v>8</v>
      </c>
    </row>
    <row r="40" spans="1:7" x14ac:dyDescent="0.45">
      <c r="A40" s="5">
        <v>45992</v>
      </c>
      <c r="B40" t="s">
        <v>28</v>
      </c>
      <c r="C40" t="s">
        <v>29</v>
      </c>
      <c r="D40">
        <v>19900</v>
      </c>
      <c r="E40">
        <v>38619.56712328767</v>
      </c>
      <c r="F40">
        <v>650</v>
      </c>
      <c r="G40">
        <v>10</v>
      </c>
    </row>
    <row r="41" spans="1:7" x14ac:dyDescent="0.45">
      <c r="A41" s="5">
        <v>45993</v>
      </c>
      <c r="B41" t="s">
        <v>28</v>
      </c>
      <c r="C41" t="s">
        <v>29</v>
      </c>
      <c r="D41">
        <v>19000</v>
      </c>
      <c r="E41">
        <v>37694.712328767127</v>
      </c>
      <c r="F41">
        <v>130</v>
      </c>
      <c r="G41">
        <v>2</v>
      </c>
    </row>
    <row r="42" spans="1:7" x14ac:dyDescent="0.45">
      <c r="A42" s="5">
        <v>45994</v>
      </c>
      <c r="B42" t="s">
        <v>28</v>
      </c>
      <c r="C42" t="s">
        <v>29</v>
      </c>
      <c r="D42">
        <v>17500</v>
      </c>
      <c r="E42">
        <v>36153.287671232873</v>
      </c>
      <c r="F42">
        <v>455</v>
      </c>
      <c r="G42">
        <v>7</v>
      </c>
    </row>
    <row r="43" spans="1:7" x14ac:dyDescent="0.45">
      <c r="A43" s="5">
        <v>45995</v>
      </c>
      <c r="B43" t="s">
        <v>28</v>
      </c>
      <c r="C43" t="s">
        <v>29</v>
      </c>
      <c r="D43">
        <v>17525</v>
      </c>
      <c r="E43">
        <v>36178.978082191781</v>
      </c>
      <c r="F43">
        <v>650</v>
      </c>
      <c r="G43">
        <v>10</v>
      </c>
    </row>
    <row r="44" spans="1:7" x14ac:dyDescent="0.45">
      <c r="A44" s="5">
        <v>45942</v>
      </c>
      <c r="B44" t="s">
        <v>30</v>
      </c>
      <c r="C44" t="s">
        <v>29</v>
      </c>
      <c r="D44">
        <v>36071</v>
      </c>
      <c r="E44">
        <v>50847.152547945203</v>
      </c>
      <c r="F44">
        <v>455</v>
      </c>
      <c r="G44">
        <v>7</v>
      </c>
    </row>
    <row r="45" spans="1:7" x14ac:dyDescent="0.45">
      <c r="A45" s="5">
        <v>45943</v>
      </c>
      <c r="B45" t="s">
        <v>30</v>
      </c>
      <c r="C45" t="s">
        <v>29</v>
      </c>
      <c r="D45">
        <v>36218</v>
      </c>
      <c r="E45">
        <v>50998.212164383564</v>
      </c>
      <c r="F45">
        <v>390</v>
      </c>
      <c r="G45">
        <v>6</v>
      </c>
    </row>
    <row r="46" spans="1:7" x14ac:dyDescent="0.45">
      <c r="A46" s="5">
        <v>45944</v>
      </c>
      <c r="B46" t="s">
        <v>30</v>
      </c>
      <c r="C46" t="s">
        <v>29</v>
      </c>
      <c r="D46">
        <v>36250</v>
      </c>
      <c r="E46">
        <v>51031.095890410958</v>
      </c>
      <c r="F46">
        <v>390</v>
      </c>
      <c r="G46">
        <v>6</v>
      </c>
    </row>
    <row r="47" spans="1:7" x14ac:dyDescent="0.45">
      <c r="A47" s="5">
        <v>45945</v>
      </c>
      <c r="B47" t="s">
        <v>30</v>
      </c>
      <c r="C47" t="s">
        <v>29</v>
      </c>
      <c r="D47">
        <v>36100</v>
      </c>
      <c r="E47">
        <v>50876.953424657528</v>
      </c>
      <c r="F47">
        <v>455</v>
      </c>
      <c r="G47">
        <v>7</v>
      </c>
    </row>
    <row r="48" spans="1:7" x14ac:dyDescent="0.45">
      <c r="A48" s="5">
        <v>45946</v>
      </c>
      <c r="B48" t="s">
        <v>30</v>
      </c>
      <c r="C48" t="s">
        <v>29</v>
      </c>
      <c r="D48">
        <v>36300</v>
      </c>
      <c r="E48">
        <v>51082.476712328767</v>
      </c>
      <c r="F48">
        <v>130</v>
      </c>
      <c r="G48">
        <v>2</v>
      </c>
    </row>
    <row r="49" spans="1:7" x14ac:dyDescent="0.45">
      <c r="A49" s="5">
        <v>45947</v>
      </c>
      <c r="B49" t="s">
        <v>30</v>
      </c>
      <c r="C49" t="s">
        <v>29</v>
      </c>
      <c r="D49">
        <v>33500</v>
      </c>
      <c r="E49">
        <v>48205.150684931497</v>
      </c>
      <c r="F49">
        <v>520</v>
      </c>
      <c r="G49">
        <v>8</v>
      </c>
    </row>
    <row r="50" spans="1:7" x14ac:dyDescent="0.45">
      <c r="A50" s="5">
        <v>45950</v>
      </c>
      <c r="B50" t="s">
        <v>30</v>
      </c>
      <c r="C50" t="s">
        <v>29</v>
      </c>
      <c r="D50">
        <v>33800</v>
      </c>
      <c r="E50">
        <v>48513.435616438357</v>
      </c>
      <c r="F50">
        <v>520</v>
      </c>
      <c r="G50">
        <v>8</v>
      </c>
    </row>
    <row r="51" spans="1:7" x14ac:dyDescent="0.45">
      <c r="A51" s="5">
        <v>45951</v>
      </c>
      <c r="B51" t="s">
        <v>30</v>
      </c>
      <c r="C51" t="s">
        <v>29</v>
      </c>
      <c r="D51">
        <v>33000</v>
      </c>
      <c r="E51">
        <v>47691.342465753427</v>
      </c>
      <c r="F51">
        <v>325</v>
      </c>
      <c r="G51">
        <v>5</v>
      </c>
    </row>
    <row r="52" spans="1:7" x14ac:dyDescent="0.45">
      <c r="A52" s="5">
        <v>45952</v>
      </c>
      <c r="B52" t="s">
        <v>30</v>
      </c>
      <c r="C52" t="s">
        <v>29</v>
      </c>
      <c r="D52">
        <v>33000</v>
      </c>
      <c r="E52">
        <v>47691.342465753427</v>
      </c>
      <c r="F52">
        <v>325</v>
      </c>
      <c r="G52">
        <v>5</v>
      </c>
    </row>
    <row r="53" spans="1:7" x14ac:dyDescent="0.45">
      <c r="A53" s="5">
        <v>45953</v>
      </c>
      <c r="B53" t="s">
        <v>30</v>
      </c>
      <c r="C53" t="s">
        <v>29</v>
      </c>
      <c r="D53">
        <v>32800</v>
      </c>
      <c r="E53">
        <v>47485.819178082187</v>
      </c>
      <c r="F53">
        <v>260</v>
      </c>
      <c r="G53">
        <v>4</v>
      </c>
    </row>
    <row r="54" spans="1:7" x14ac:dyDescent="0.45">
      <c r="A54" s="5">
        <v>45954</v>
      </c>
      <c r="B54" t="s">
        <v>30</v>
      </c>
      <c r="C54" t="s">
        <v>29</v>
      </c>
      <c r="D54">
        <v>31800</v>
      </c>
      <c r="E54">
        <v>46458.202739726017</v>
      </c>
      <c r="F54">
        <v>390</v>
      </c>
      <c r="G54">
        <v>6</v>
      </c>
    </row>
    <row r="55" spans="1:7" x14ac:dyDescent="0.45">
      <c r="A55" s="5">
        <v>45957</v>
      </c>
      <c r="B55" t="s">
        <v>30</v>
      </c>
      <c r="C55" t="s">
        <v>29</v>
      </c>
      <c r="D55">
        <v>31500</v>
      </c>
      <c r="E55">
        <v>46149.917808219179</v>
      </c>
      <c r="F55">
        <v>715</v>
      </c>
      <c r="G55">
        <v>11</v>
      </c>
    </row>
    <row r="56" spans="1:7" x14ac:dyDescent="0.45">
      <c r="A56" s="5">
        <v>45958</v>
      </c>
      <c r="B56" t="s">
        <v>30</v>
      </c>
      <c r="C56" t="s">
        <v>29</v>
      </c>
      <c r="D56">
        <v>31000</v>
      </c>
      <c r="E56">
        <v>45636.109589041087</v>
      </c>
      <c r="F56">
        <v>390</v>
      </c>
      <c r="G56">
        <v>6</v>
      </c>
    </row>
    <row r="57" spans="1:7" x14ac:dyDescent="0.45">
      <c r="A57" s="5">
        <v>45959</v>
      </c>
      <c r="B57" t="s">
        <v>30</v>
      </c>
      <c r="C57" t="s">
        <v>29</v>
      </c>
      <c r="D57">
        <v>30500</v>
      </c>
      <c r="E57">
        <v>45122.301369863017</v>
      </c>
      <c r="F57">
        <v>455</v>
      </c>
      <c r="G57">
        <v>7</v>
      </c>
    </row>
    <row r="58" spans="1:7" x14ac:dyDescent="0.45">
      <c r="A58" s="5">
        <v>45960</v>
      </c>
      <c r="B58" t="s">
        <v>30</v>
      </c>
      <c r="C58" t="s">
        <v>29</v>
      </c>
      <c r="D58">
        <v>29000</v>
      </c>
      <c r="E58">
        <v>43580.876712328769</v>
      </c>
      <c r="F58">
        <v>520</v>
      </c>
      <c r="G58">
        <v>8</v>
      </c>
    </row>
    <row r="59" spans="1:7" x14ac:dyDescent="0.45">
      <c r="A59" s="5">
        <v>45961</v>
      </c>
      <c r="B59" t="s">
        <v>30</v>
      </c>
      <c r="C59" t="s">
        <v>29</v>
      </c>
      <c r="D59">
        <v>27900</v>
      </c>
      <c r="E59">
        <v>42450.498630136994</v>
      </c>
      <c r="F59">
        <v>520</v>
      </c>
      <c r="G59">
        <v>8</v>
      </c>
    </row>
    <row r="60" spans="1:7" x14ac:dyDescent="0.45">
      <c r="A60" s="5">
        <v>45962</v>
      </c>
      <c r="B60" t="s">
        <v>30</v>
      </c>
      <c r="C60" t="s">
        <v>29</v>
      </c>
      <c r="D60">
        <v>27100</v>
      </c>
      <c r="E60">
        <v>41628.405479452063</v>
      </c>
      <c r="F60">
        <v>910</v>
      </c>
      <c r="G60">
        <v>14</v>
      </c>
    </row>
    <row r="61" spans="1:7" x14ac:dyDescent="0.45">
      <c r="A61" s="5">
        <v>45966</v>
      </c>
      <c r="B61" t="s">
        <v>30</v>
      </c>
      <c r="C61" t="s">
        <v>29</v>
      </c>
      <c r="D61">
        <v>26000</v>
      </c>
      <c r="E61">
        <v>40498.027397260274</v>
      </c>
      <c r="F61">
        <v>1040</v>
      </c>
      <c r="G61">
        <v>16</v>
      </c>
    </row>
    <row r="62" spans="1:7" x14ac:dyDescent="0.45">
      <c r="A62" s="5">
        <v>45967</v>
      </c>
      <c r="B62" t="s">
        <v>30</v>
      </c>
      <c r="C62" t="s">
        <v>29</v>
      </c>
      <c r="D62">
        <v>25300</v>
      </c>
      <c r="E62">
        <v>39778.695890410963</v>
      </c>
      <c r="F62">
        <v>585</v>
      </c>
      <c r="G62">
        <v>9</v>
      </c>
    </row>
    <row r="63" spans="1:7" x14ac:dyDescent="0.45">
      <c r="A63" s="5">
        <v>45968</v>
      </c>
      <c r="B63" t="s">
        <v>30</v>
      </c>
      <c r="C63" t="s">
        <v>29</v>
      </c>
      <c r="D63">
        <v>24000</v>
      </c>
      <c r="E63">
        <v>38442.794520547948</v>
      </c>
      <c r="F63">
        <v>975</v>
      </c>
      <c r="G63">
        <v>15</v>
      </c>
    </row>
    <row r="64" spans="1:7" x14ac:dyDescent="0.45">
      <c r="A64" s="5">
        <v>45971</v>
      </c>
      <c r="B64" t="s">
        <v>30</v>
      </c>
      <c r="C64" t="s">
        <v>29</v>
      </c>
      <c r="D64">
        <v>23921</v>
      </c>
      <c r="E64">
        <v>38361.612821917814</v>
      </c>
      <c r="F64">
        <v>1690</v>
      </c>
      <c r="G64">
        <v>26</v>
      </c>
    </row>
    <row r="65" spans="1:7" x14ac:dyDescent="0.45">
      <c r="A65" s="5">
        <v>45972</v>
      </c>
      <c r="B65" t="s">
        <v>30</v>
      </c>
      <c r="C65" t="s">
        <v>29</v>
      </c>
      <c r="D65">
        <v>23900</v>
      </c>
      <c r="E65">
        <v>38340.032876712328</v>
      </c>
      <c r="F65">
        <v>1430</v>
      </c>
      <c r="G65">
        <v>22</v>
      </c>
    </row>
    <row r="66" spans="1:7" x14ac:dyDescent="0.45">
      <c r="A66" s="5">
        <v>45973</v>
      </c>
      <c r="B66" t="s">
        <v>30</v>
      </c>
      <c r="C66" t="s">
        <v>29</v>
      </c>
      <c r="D66">
        <v>23000</v>
      </c>
      <c r="E66">
        <v>37415.178082191778</v>
      </c>
      <c r="F66">
        <v>1105</v>
      </c>
      <c r="G66">
        <v>17</v>
      </c>
    </row>
    <row r="67" spans="1:7" x14ac:dyDescent="0.45">
      <c r="A67" s="5">
        <v>45974</v>
      </c>
      <c r="B67" t="s">
        <v>30</v>
      </c>
      <c r="C67" t="s">
        <v>29</v>
      </c>
      <c r="D67">
        <v>22000</v>
      </c>
      <c r="E67">
        <v>36387.561643835623</v>
      </c>
      <c r="F67">
        <v>195</v>
      </c>
      <c r="G67">
        <v>3</v>
      </c>
    </row>
    <row r="68" spans="1:7" x14ac:dyDescent="0.45">
      <c r="A68" s="5">
        <v>45975</v>
      </c>
      <c r="B68" t="s">
        <v>30</v>
      </c>
      <c r="C68" t="s">
        <v>29</v>
      </c>
      <c r="D68">
        <v>21201</v>
      </c>
      <c r="E68">
        <v>35566.496109589039</v>
      </c>
      <c r="F68">
        <v>1495</v>
      </c>
      <c r="G68">
        <v>23</v>
      </c>
    </row>
    <row r="69" spans="1:7" x14ac:dyDescent="0.45">
      <c r="A69" s="5">
        <v>45978</v>
      </c>
      <c r="B69" t="s">
        <v>30</v>
      </c>
      <c r="C69" t="s">
        <v>29</v>
      </c>
      <c r="D69">
        <v>21200</v>
      </c>
      <c r="E69">
        <v>35565.468493150693</v>
      </c>
      <c r="F69">
        <v>1040</v>
      </c>
      <c r="G69">
        <v>16</v>
      </c>
    </row>
    <row r="70" spans="1:7" x14ac:dyDescent="0.45">
      <c r="A70" s="5">
        <v>45979</v>
      </c>
      <c r="B70" t="s">
        <v>30</v>
      </c>
      <c r="C70" t="s">
        <v>29</v>
      </c>
      <c r="D70">
        <v>22000</v>
      </c>
      <c r="E70">
        <v>37477.561643835623</v>
      </c>
      <c r="F70">
        <v>2015</v>
      </c>
      <c r="G70">
        <v>31</v>
      </c>
    </row>
    <row r="71" spans="1:7" x14ac:dyDescent="0.45">
      <c r="A71" s="5">
        <v>45980</v>
      </c>
      <c r="B71" t="s">
        <v>30</v>
      </c>
      <c r="C71" t="s">
        <v>29</v>
      </c>
      <c r="D71">
        <v>23000</v>
      </c>
      <c r="E71">
        <v>38505.178082191778</v>
      </c>
      <c r="F71">
        <v>2015</v>
      </c>
      <c r="G71">
        <v>31</v>
      </c>
    </row>
    <row r="72" spans="1:7" x14ac:dyDescent="0.45">
      <c r="A72" s="5">
        <v>45981</v>
      </c>
      <c r="B72" t="s">
        <v>30</v>
      </c>
      <c r="C72" t="s">
        <v>29</v>
      </c>
      <c r="D72">
        <v>22800</v>
      </c>
      <c r="E72">
        <v>38299.654794520553</v>
      </c>
      <c r="F72">
        <v>1755</v>
      </c>
      <c r="G72">
        <v>27</v>
      </c>
    </row>
    <row r="73" spans="1:7" x14ac:dyDescent="0.45">
      <c r="A73" s="5">
        <v>45982</v>
      </c>
      <c r="B73" t="s">
        <v>30</v>
      </c>
      <c r="C73" t="s">
        <v>29</v>
      </c>
      <c r="D73">
        <v>22800</v>
      </c>
      <c r="E73">
        <v>38299.654794520553</v>
      </c>
      <c r="F73">
        <v>1495</v>
      </c>
      <c r="G73">
        <v>23</v>
      </c>
    </row>
    <row r="74" spans="1:7" x14ac:dyDescent="0.45">
      <c r="A74" s="5">
        <v>45985</v>
      </c>
      <c r="B74" t="s">
        <v>30</v>
      </c>
      <c r="C74" t="s">
        <v>29</v>
      </c>
      <c r="D74">
        <v>21500</v>
      </c>
      <c r="E74">
        <v>36963.753424657538</v>
      </c>
      <c r="F74">
        <v>390</v>
      </c>
      <c r="G74">
        <v>6</v>
      </c>
    </row>
    <row r="75" spans="1:7" x14ac:dyDescent="0.45">
      <c r="A75" s="5">
        <v>45986</v>
      </c>
      <c r="B75" t="s">
        <v>30</v>
      </c>
      <c r="C75" t="s">
        <v>29</v>
      </c>
      <c r="D75">
        <v>21559</v>
      </c>
      <c r="E75">
        <v>37024.382794520548</v>
      </c>
      <c r="F75">
        <v>2665</v>
      </c>
      <c r="G75">
        <v>41</v>
      </c>
    </row>
    <row r="76" spans="1:7" x14ac:dyDescent="0.45">
      <c r="A76" s="5">
        <v>45987</v>
      </c>
      <c r="B76" t="s">
        <v>30</v>
      </c>
      <c r="C76" t="s">
        <v>29</v>
      </c>
      <c r="D76">
        <v>23130</v>
      </c>
      <c r="E76">
        <v>38638.768219178077</v>
      </c>
      <c r="F76">
        <v>2405</v>
      </c>
      <c r="G76">
        <v>37</v>
      </c>
    </row>
    <row r="77" spans="1:7" x14ac:dyDescent="0.45">
      <c r="A77" s="5">
        <v>45988</v>
      </c>
      <c r="B77" t="s">
        <v>30</v>
      </c>
      <c r="C77" t="s">
        <v>29</v>
      </c>
      <c r="D77">
        <v>23810</v>
      </c>
      <c r="E77">
        <v>39337.547397260278</v>
      </c>
      <c r="F77">
        <v>2275</v>
      </c>
      <c r="G77">
        <v>35</v>
      </c>
    </row>
    <row r="78" spans="1:7" x14ac:dyDescent="0.45">
      <c r="A78" s="5">
        <v>45989</v>
      </c>
      <c r="B78" t="s">
        <v>30</v>
      </c>
      <c r="C78" t="s">
        <v>29</v>
      </c>
      <c r="D78">
        <v>22600</v>
      </c>
      <c r="E78">
        <v>38094.131506849313</v>
      </c>
      <c r="F78">
        <v>455</v>
      </c>
      <c r="G78">
        <v>7</v>
      </c>
    </row>
    <row r="79" spans="1:7" x14ac:dyDescent="0.45">
      <c r="A79" s="5">
        <v>45992</v>
      </c>
      <c r="B79" t="s">
        <v>30</v>
      </c>
      <c r="C79" t="s">
        <v>29</v>
      </c>
      <c r="D79">
        <v>23000</v>
      </c>
      <c r="E79">
        <v>38505.178082191778</v>
      </c>
      <c r="F79">
        <v>1625</v>
      </c>
      <c r="G79">
        <v>25</v>
      </c>
    </row>
    <row r="80" spans="1:7" x14ac:dyDescent="0.45">
      <c r="A80" s="5">
        <v>45993</v>
      </c>
      <c r="B80" t="s">
        <v>30</v>
      </c>
      <c r="C80" t="s">
        <v>29</v>
      </c>
      <c r="D80">
        <v>22300</v>
      </c>
      <c r="E80">
        <v>37785.846575342468</v>
      </c>
      <c r="F80">
        <v>325</v>
      </c>
      <c r="G80">
        <v>5</v>
      </c>
    </row>
    <row r="81" spans="1:7" x14ac:dyDescent="0.45">
      <c r="A81" s="5">
        <v>45994</v>
      </c>
      <c r="B81" t="s">
        <v>30</v>
      </c>
      <c r="C81" t="s">
        <v>29</v>
      </c>
      <c r="D81">
        <v>22305</v>
      </c>
      <c r="E81">
        <v>37790.984657534253</v>
      </c>
      <c r="F81">
        <v>455</v>
      </c>
      <c r="G81">
        <v>7</v>
      </c>
    </row>
    <row r="82" spans="1:7" x14ac:dyDescent="0.45">
      <c r="A82" s="5">
        <v>45995</v>
      </c>
      <c r="B82" t="s">
        <v>30</v>
      </c>
      <c r="C82" t="s">
        <v>29</v>
      </c>
      <c r="D82">
        <v>22410</v>
      </c>
      <c r="E82">
        <v>37898.884383561643</v>
      </c>
      <c r="F82">
        <v>650</v>
      </c>
      <c r="G82">
        <v>10</v>
      </c>
    </row>
    <row r="83" spans="1:7" x14ac:dyDescent="0.45">
      <c r="A83" s="5">
        <v>45942</v>
      </c>
      <c r="B83" t="s">
        <v>31</v>
      </c>
      <c r="C83" t="s">
        <v>29</v>
      </c>
      <c r="D83">
        <v>44750</v>
      </c>
      <c r="E83">
        <v>52565.835616438359</v>
      </c>
      <c r="F83">
        <v>130</v>
      </c>
      <c r="G83">
        <v>2</v>
      </c>
    </row>
    <row r="84" spans="1:7" x14ac:dyDescent="0.45">
      <c r="A84" s="5">
        <v>45943</v>
      </c>
      <c r="B84" t="s">
        <v>31</v>
      </c>
      <c r="C84" t="s">
        <v>29</v>
      </c>
      <c r="D84">
        <v>44700</v>
      </c>
      <c r="E84">
        <v>52514.454794520549</v>
      </c>
      <c r="F84">
        <v>260</v>
      </c>
      <c r="G84">
        <v>4</v>
      </c>
    </row>
    <row r="85" spans="1:7" x14ac:dyDescent="0.45">
      <c r="A85" s="5">
        <v>45944</v>
      </c>
      <c r="B85" t="s">
        <v>31</v>
      </c>
      <c r="C85" t="s">
        <v>29</v>
      </c>
      <c r="D85">
        <v>44700</v>
      </c>
      <c r="E85">
        <v>52514.454794520549</v>
      </c>
      <c r="F85">
        <v>0</v>
      </c>
      <c r="G85">
        <v>0</v>
      </c>
    </row>
    <row r="86" spans="1:7" x14ac:dyDescent="0.45">
      <c r="A86" s="5">
        <v>45945</v>
      </c>
      <c r="B86" t="s">
        <v>31</v>
      </c>
      <c r="C86" t="s">
        <v>29</v>
      </c>
      <c r="D86">
        <v>43400</v>
      </c>
      <c r="E86">
        <v>51178.553424657533</v>
      </c>
      <c r="F86">
        <v>195</v>
      </c>
      <c r="G86">
        <v>3</v>
      </c>
    </row>
    <row r="87" spans="1:7" x14ac:dyDescent="0.45">
      <c r="A87" s="5">
        <v>45946</v>
      </c>
      <c r="B87" t="s">
        <v>31</v>
      </c>
      <c r="C87" t="s">
        <v>29</v>
      </c>
      <c r="D87">
        <v>43533</v>
      </c>
      <c r="E87">
        <v>51315.226410958901</v>
      </c>
      <c r="F87">
        <v>325</v>
      </c>
      <c r="G87">
        <v>5</v>
      </c>
    </row>
    <row r="88" spans="1:7" x14ac:dyDescent="0.45">
      <c r="A88" s="5">
        <v>45947</v>
      </c>
      <c r="B88" t="s">
        <v>31</v>
      </c>
      <c r="C88" t="s">
        <v>29</v>
      </c>
      <c r="D88">
        <v>43533</v>
      </c>
      <c r="E88">
        <v>51315.226410958901</v>
      </c>
      <c r="F88">
        <v>585</v>
      </c>
      <c r="G88">
        <v>9</v>
      </c>
    </row>
    <row r="89" spans="1:7" x14ac:dyDescent="0.45">
      <c r="A89" s="5">
        <v>45950</v>
      </c>
      <c r="B89" t="s">
        <v>31</v>
      </c>
      <c r="C89" t="s">
        <v>29</v>
      </c>
      <c r="D89">
        <v>43533</v>
      </c>
      <c r="E89">
        <v>51315.226410958901</v>
      </c>
      <c r="F89">
        <v>130</v>
      </c>
      <c r="G89">
        <v>2</v>
      </c>
    </row>
    <row r="90" spans="1:7" x14ac:dyDescent="0.45">
      <c r="A90" s="5">
        <v>45951</v>
      </c>
      <c r="B90" t="s">
        <v>31</v>
      </c>
      <c r="C90" t="s">
        <v>29</v>
      </c>
      <c r="D90">
        <v>41700</v>
      </c>
      <c r="E90">
        <v>49431.605479452053</v>
      </c>
      <c r="F90">
        <v>65</v>
      </c>
      <c r="G90">
        <v>1</v>
      </c>
    </row>
    <row r="91" spans="1:7" x14ac:dyDescent="0.45">
      <c r="A91" s="5">
        <v>45952</v>
      </c>
      <c r="B91" t="s">
        <v>31</v>
      </c>
      <c r="C91" t="s">
        <v>29</v>
      </c>
      <c r="D91">
        <v>41800</v>
      </c>
      <c r="E91">
        <v>49534.367123287673</v>
      </c>
      <c r="F91">
        <v>130</v>
      </c>
      <c r="G91">
        <v>2</v>
      </c>
    </row>
    <row r="92" spans="1:7" x14ac:dyDescent="0.45">
      <c r="A92" s="5">
        <v>45953</v>
      </c>
      <c r="B92" t="s">
        <v>31</v>
      </c>
      <c r="C92" t="s">
        <v>29</v>
      </c>
      <c r="D92">
        <v>41600</v>
      </c>
      <c r="E92">
        <v>49328.843835616441</v>
      </c>
      <c r="F92">
        <v>260</v>
      </c>
      <c r="G92">
        <v>4</v>
      </c>
    </row>
    <row r="93" spans="1:7" x14ac:dyDescent="0.45">
      <c r="A93" s="5">
        <v>45954</v>
      </c>
      <c r="B93" t="s">
        <v>31</v>
      </c>
      <c r="C93" t="s">
        <v>29</v>
      </c>
      <c r="D93">
        <v>40500</v>
      </c>
      <c r="E93">
        <v>48198.465753424658</v>
      </c>
      <c r="F93">
        <v>260</v>
      </c>
      <c r="G93">
        <v>4</v>
      </c>
    </row>
    <row r="94" spans="1:7" x14ac:dyDescent="0.45">
      <c r="A94" s="5">
        <v>45957</v>
      </c>
      <c r="B94" t="s">
        <v>31</v>
      </c>
      <c r="C94" t="s">
        <v>29</v>
      </c>
      <c r="D94">
        <v>39900</v>
      </c>
      <c r="E94">
        <v>47581.89589041096</v>
      </c>
      <c r="F94">
        <v>195</v>
      </c>
      <c r="G94">
        <v>3</v>
      </c>
    </row>
    <row r="95" spans="1:7" x14ac:dyDescent="0.45">
      <c r="A95" s="5">
        <v>45958</v>
      </c>
      <c r="B95" t="s">
        <v>31</v>
      </c>
      <c r="C95" t="s">
        <v>29</v>
      </c>
      <c r="D95">
        <v>39400</v>
      </c>
      <c r="E95">
        <v>47068.087671232883</v>
      </c>
      <c r="F95">
        <v>130</v>
      </c>
      <c r="G95">
        <v>2</v>
      </c>
    </row>
    <row r="96" spans="1:7" x14ac:dyDescent="0.45">
      <c r="A96" s="5">
        <v>45959</v>
      </c>
      <c r="B96" t="s">
        <v>31</v>
      </c>
      <c r="C96" t="s">
        <v>29</v>
      </c>
      <c r="D96">
        <v>39400</v>
      </c>
      <c r="E96">
        <v>47068.087671232883</v>
      </c>
      <c r="F96">
        <v>260</v>
      </c>
      <c r="G96">
        <v>4</v>
      </c>
    </row>
    <row r="97" spans="1:7" x14ac:dyDescent="0.45">
      <c r="A97" s="5">
        <v>45960</v>
      </c>
      <c r="B97" t="s">
        <v>31</v>
      </c>
      <c r="C97" t="s">
        <v>29</v>
      </c>
      <c r="D97">
        <v>39400</v>
      </c>
      <c r="E97">
        <v>47068.087671232883</v>
      </c>
      <c r="F97">
        <v>65</v>
      </c>
      <c r="G97">
        <v>1</v>
      </c>
    </row>
    <row r="98" spans="1:7" x14ac:dyDescent="0.45">
      <c r="A98" s="5">
        <v>45961</v>
      </c>
      <c r="B98" t="s">
        <v>31</v>
      </c>
      <c r="C98" t="s">
        <v>29</v>
      </c>
      <c r="D98">
        <v>36500</v>
      </c>
      <c r="E98">
        <v>44088</v>
      </c>
      <c r="F98">
        <v>130</v>
      </c>
      <c r="G98">
        <v>2</v>
      </c>
    </row>
    <row r="99" spans="1:7" x14ac:dyDescent="0.45">
      <c r="A99" s="5">
        <v>45962</v>
      </c>
      <c r="B99" t="s">
        <v>31</v>
      </c>
      <c r="C99" t="s">
        <v>29</v>
      </c>
      <c r="D99">
        <v>34400</v>
      </c>
      <c r="E99">
        <v>41930.005479452047</v>
      </c>
      <c r="F99">
        <v>65</v>
      </c>
      <c r="G99">
        <v>1</v>
      </c>
    </row>
    <row r="100" spans="1:7" x14ac:dyDescent="0.45">
      <c r="A100" s="5">
        <v>45966</v>
      </c>
      <c r="B100" t="s">
        <v>31</v>
      </c>
      <c r="C100" t="s">
        <v>29</v>
      </c>
      <c r="D100">
        <v>33500</v>
      </c>
      <c r="E100">
        <v>41005.150684931497</v>
      </c>
      <c r="F100">
        <v>195</v>
      </c>
      <c r="G100">
        <v>3</v>
      </c>
    </row>
    <row r="101" spans="1:7" x14ac:dyDescent="0.45">
      <c r="A101" s="5">
        <v>45967</v>
      </c>
      <c r="B101" t="s">
        <v>31</v>
      </c>
      <c r="C101" t="s">
        <v>29</v>
      </c>
      <c r="D101">
        <v>33000</v>
      </c>
      <c r="E101">
        <v>40491.342465753427</v>
      </c>
      <c r="F101">
        <v>195</v>
      </c>
      <c r="G101">
        <v>3</v>
      </c>
    </row>
    <row r="102" spans="1:7" x14ac:dyDescent="0.45">
      <c r="A102" s="5">
        <v>45968</v>
      </c>
      <c r="B102" t="s">
        <v>31</v>
      </c>
      <c r="C102" t="s">
        <v>29</v>
      </c>
      <c r="D102">
        <v>32800</v>
      </c>
      <c r="E102">
        <v>40285.819178082187</v>
      </c>
      <c r="F102">
        <v>715</v>
      </c>
      <c r="G102">
        <v>11</v>
      </c>
    </row>
    <row r="103" spans="1:7" x14ac:dyDescent="0.45">
      <c r="A103" s="5">
        <v>45971</v>
      </c>
      <c r="B103" t="s">
        <v>31</v>
      </c>
      <c r="C103" t="s">
        <v>29</v>
      </c>
      <c r="D103">
        <v>32800</v>
      </c>
      <c r="E103">
        <v>40285.819178082187</v>
      </c>
      <c r="F103">
        <v>975</v>
      </c>
      <c r="G103">
        <v>15</v>
      </c>
    </row>
    <row r="104" spans="1:7" x14ac:dyDescent="0.45">
      <c r="A104" s="5">
        <v>45972</v>
      </c>
      <c r="B104" t="s">
        <v>31</v>
      </c>
      <c r="C104" t="s">
        <v>29</v>
      </c>
      <c r="D104">
        <v>32800</v>
      </c>
      <c r="E104">
        <v>40285.819178082187</v>
      </c>
      <c r="F104">
        <v>1495</v>
      </c>
      <c r="G104">
        <v>23</v>
      </c>
    </row>
    <row r="105" spans="1:7" x14ac:dyDescent="0.45">
      <c r="A105" s="5">
        <v>45973</v>
      </c>
      <c r="B105" t="s">
        <v>31</v>
      </c>
      <c r="C105" t="s">
        <v>29</v>
      </c>
      <c r="D105">
        <v>32800</v>
      </c>
      <c r="E105">
        <v>40285.819178082187</v>
      </c>
      <c r="F105">
        <v>1040</v>
      </c>
      <c r="G105">
        <v>16</v>
      </c>
    </row>
    <row r="106" spans="1:7" x14ac:dyDescent="0.45">
      <c r="A106" s="5">
        <v>45974</v>
      </c>
      <c r="B106" t="s">
        <v>31</v>
      </c>
      <c r="C106" t="s">
        <v>29</v>
      </c>
      <c r="D106">
        <v>32000</v>
      </c>
      <c r="E106">
        <v>39463.726027397257</v>
      </c>
      <c r="F106">
        <v>130</v>
      </c>
      <c r="G106">
        <v>2</v>
      </c>
    </row>
    <row r="107" spans="1:7" x14ac:dyDescent="0.45">
      <c r="A107" s="5">
        <v>45975</v>
      </c>
      <c r="B107" t="s">
        <v>31</v>
      </c>
      <c r="C107" t="s">
        <v>29</v>
      </c>
      <c r="D107">
        <v>31000</v>
      </c>
      <c r="E107">
        <v>38436.109589041087</v>
      </c>
      <c r="F107">
        <v>325</v>
      </c>
      <c r="G107">
        <v>5</v>
      </c>
    </row>
    <row r="108" spans="1:7" x14ac:dyDescent="0.45">
      <c r="A108" s="5">
        <v>45978</v>
      </c>
      <c r="B108" t="s">
        <v>31</v>
      </c>
      <c r="C108" t="s">
        <v>29</v>
      </c>
      <c r="D108">
        <v>28500</v>
      </c>
      <c r="E108">
        <v>35867.068493150677</v>
      </c>
      <c r="F108">
        <v>390</v>
      </c>
      <c r="G108">
        <v>6</v>
      </c>
    </row>
    <row r="109" spans="1:7" x14ac:dyDescent="0.45">
      <c r="A109" s="5">
        <v>45979</v>
      </c>
      <c r="B109" t="s">
        <v>31</v>
      </c>
      <c r="C109" t="s">
        <v>29</v>
      </c>
      <c r="D109">
        <v>29550</v>
      </c>
      <c r="E109">
        <v>37129.065753424657</v>
      </c>
      <c r="F109">
        <v>1105</v>
      </c>
      <c r="G109">
        <v>17</v>
      </c>
    </row>
    <row r="110" spans="1:7" x14ac:dyDescent="0.45">
      <c r="A110" s="5">
        <v>45980</v>
      </c>
      <c r="B110" t="s">
        <v>31</v>
      </c>
      <c r="C110" t="s">
        <v>29</v>
      </c>
      <c r="D110">
        <v>31238</v>
      </c>
      <c r="E110">
        <v>38863.682301369859</v>
      </c>
      <c r="F110">
        <v>520</v>
      </c>
      <c r="G110">
        <v>8</v>
      </c>
    </row>
    <row r="111" spans="1:7" x14ac:dyDescent="0.45">
      <c r="A111" s="5">
        <v>45981</v>
      </c>
      <c r="B111" t="s">
        <v>31</v>
      </c>
      <c r="C111" t="s">
        <v>29</v>
      </c>
      <c r="D111">
        <v>31305</v>
      </c>
      <c r="E111">
        <v>38932.532602739717</v>
      </c>
      <c r="F111">
        <v>715</v>
      </c>
      <c r="G111">
        <v>11</v>
      </c>
    </row>
    <row r="112" spans="1:7" x14ac:dyDescent="0.45">
      <c r="A112" s="5">
        <v>45982</v>
      </c>
      <c r="B112" t="s">
        <v>31</v>
      </c>
      <c r="C112" t="s">
        <v>29</v>
      </c>
      <c r="D112">
        <v>31500</v>
      </c>
      <c r="E112">
        <v>39132.917808219179</v>
      </c>
      <c r="F112">
        <v>260</v>
      </c>
      <c r="G112">
        <v>4</v>
      </c>
    </row>
    <row r="113" spans="1:7" x14ac:dyDescent="0.45">
      <c r="A113" s="5">
        <v>45985</v>
      </c>
      <c r="B113" t="s">
        <v>31</v>
      </c>
      <c r="C113" t="s">
        <v>29</v>
      </c>
      <c r="D113">
        <v>32050</v>
      </c>
      <c r="E113">
        <v>39698.106849315067</v>
      </c>
      <c r="F113">
        <v>260</v>
      </c>
      <c r="G113">
        <v>4</v>
      </c>
    </row>
    <row r="114" spans="1:7" x14ac:dyDescent="0.45">
      <c r="A114" s="5">
        <v>45986</v>
      </c>
      <c r="B114" t="s">
        <v>31</v>
      </c>
      <c r="C114" t="s">
        <v>29</v>
      </c>
      <c r="D114">
        <v>32050</v>
      </c>
      <c r="E114">
        <v>39698.106849315067</v>
      </c>
      <c r="F114">
        <v>260</v>
      </c>
      <c r="G114">
        <v>4</v>
      </c>
    </row>
    <row r="115" spans="1:7" x14ac:dyDescent="0.45">
      <c r="A115" s="5">
        <v>45987</v>
      </c>
      <c r="B115" t="s">
        <v>31</v>
      </c>
      <c r="C115" t="s">
        <v>29</v>
      </c>
      <c r="D115">
        <v>32333</v>
      </c>
      <c r="E115">
        <v>39877.307013698628</v>
      </c>
      <c r="F115">
        <v>650</v>
      </c>
      <c r="G115">
        <v>10</v>
      </c>
    </row>
    <row r="116" spans="1:7" x14ac:dyDescent="0.45">
      <c r="A116" s="5">
        <v>45988</v>
      </c>
      <c r="B116" t="s">
        <v>31</v>
      </c>
      <c r="C116" t="s">
        <v>29</v>
      </c>
      <c r="D116">
        <v>32333</v>
      </c>
      <c r="E116">
        <v>39877.307013698628</v>
      </c>
      <c r="F116">
        <v>390</v>
      </c>
      <c r="G116">
        <v>6</v>
      </c>
    </row>
    <row r="117" spans="1:7" x14ac:dyDescent="0.45">
      <c r="A117" s="5">
        <v>45989</v>
      </c>
      <c r="B117" t="s">
        <v>31</v>
      </c>
      <c r="C117" t="s">
        <v>29</v>
      </c>
      <c r="D117">
        <v>31900</v>
      </c>
      <c r="E117">
        <v>39433.843835616441</v>
      </c>
      <c r="F117">
        <v>130</v>
      </c>
      <c r="G117">
        <v>2</v>
      </c>
    </row>
    <row r="118" spans="1:7" x14ac:dyDescent="0.45">
      <c r="A118" s="5">
        <v>45992</v>
      </c>
      <c r="B118" t="s">
        <v>31</v>
      </c>
      <c r="C118" t="s">
        <v>29</v>
      </c>
      <c r="D118">
        <v>31900</v>
      </c>
      <c r="E118">
        <v>39433.843835616441</v>
      </c>
      <c r="F118">
        <v>455</v>
      </c>
      <c r="G118">
        <v>7</v>
      </c>
    </row>
    <row r="119" spans="1:7" x14ac:dyDescent="0.45">
      <c r="A119" s="5">
        <v>45993</v>
      </c>
      <c r="B119" t="s">
        <v>31</v>
      </c>
      <c r="C119" t="s">
        <v>29</v>
      </c>
      <c r="D119">
        <v>31900</v>
      </c>
      <c r="E119">
        <v>39433.843835616441</v>
      </c>
      <c r="F119">
        <v>0</v>
      </c>
      <c r="G119">
        <v>0</v>
      </c>
    </row>
    <row r="120" spans="1:7" x14ac:dyDescent="0.45">
      <c r="A120" s="5">
        <v>45994</v>
      </c>
      <c r="B120" t="s">
        <v>31</v>
      </c>
      <c r="C120" t="s">
        <v>29</v>
      </c>
      <c r="D120">
        <v>31500</v>
      </c>
      <c r="E120">
        <v>39024.178082191778</v>
      </c>
      <c r="F120">
        <v>195</v>
      </c>
      <c r="G120">
        <v>3</v>
      </c>
    </row>
    <row r="121" spans="1:7" x14ac:dyDescent="0.45">
      <c r="A121" s="5">
        <v>45995</v>
      </c>
      <c r="B121" t="s">
        <v>31</v>
      </c>
      <c r="C121" t="s">
        <v>29</v>
      </c>
      <c r="D121">
        <v>31500</v>
      </c>
      <c r="E121">
        <v>39024.178082191778</v>
      </c>
      <c r="F121">
        <v>520</v>
      </c>
      <c r="G121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12" sqref="G12"/>
    </sheetView>
  </sheetViews>
  <sheetFormatPr defaultRowHeight="14.25" x14ac:dyDescent="0.45"/>
  <cols>
    <col min="1" max="1" width="9.6640625" bestFit="1" customWidth="1"/>
    <col min="2" max="2" width="7.46484375" bestFit="1" customWidth="1"/>
    <col min="3" max="3" width="9.33203125" bestFit="1" customWidth="1"/>
    <col min="4" max="4" width="18.86328125" bestFit="1" customWidth="1"/>
    <col min="5" max="5" width="13.59765625" bestFit="1" customWidth="1"/>
  </cols>
  <sheetData>
    <row r="1" spans="1:5" x14ac:dyDescent="0.45">
      <c r="A1" t="s">
        <v>0</v>
      </c>
      <c r="B1" t="s">
        <v>3</v>
      </c>
      <c r="C1" t="s">
        <v>34</v>
      </c>
      <c r="D1" t="s">
        <v>35</v>
      </c>
      <c r="E1" t="s">
        <v>36</v>
      </c>
    </row>
    <row r="2" spans="1:5" x14ac:dyDescent="0.45">
      <c r="A2" s="1">
        <v>45995</v>
      </c>
      <c r="B2" t="s">
        <v>37</v>
      </c>
      <c r="C2">
        <v>110300</v>
      </c>
      <c r="D2" t="s">
        <v>5</v>
      </c>
      <c r="E2" t="s">
        <v>38</v>
      </c>
    </row>
    <row r="3" spans="1:5" x14ac:dyDescent="0.45">
      <c r="A3" s="1">
        <v>45995</v>
      </c>
      <c r="B3" t="s">
        <v>39</v>
      </c>
      <c r="C3">
        <v>114500</v>
      </c>
      <c r="D3" t="s">
        <v>5</v>
      </c>
      <c r="E3" t="s">
        <v>40</v>
      </c>
    </row>
    <row r="4" spans="1:5" x14ac:dyDescent="0.45">
      <c r="A4" s="1">
        <v>45995</v>
      </c>
      <c r="B4" t="s">
        <v>18</v>
      </c>
      <c r="C4">
        <v>120200</v>
      </c>
      <c r="D4" t="s">
        <v>5</v>
      </c>
      <c r="E4" t="s">
        <v>40</v>
      </c>
    </row>
    <row r="5" spans="1:5" x14ac:dyDescent="0.45">
      <c r="A5" s="1">
        <v>45995</v>
      </c>
      <c r="B5" t="s">
        <v>41</v>
      </c>
      <c r="C5">
        <v>117700</v>
      </c>
      <c r="D5" t="s">
        <v>5</v>
      </c>
      <c r="E5" t="s">
        <v>40</v>
      </c>
    </row>
    <row r="6" spans="1:5" x14ac:dyDescent="0.45">
      <c r="A6" s="1">
        <v>45996</v>
      </c>
      <c r="B6" t="s">
        <v>37</v>
      </c>
      <c r="C6">
        <v>110300</v>
      </c>
      <c r="D6" t="s">
        <v>5</v>
      </c>
      <c r="E6" t="s">
        <v>40</v>
      </c>
    </row>
    <row r="7" spans="1:5" x14ac:dyDescent="0.45">
      <c r="A7" s="1">
        <v>45996</v>
      </c>
      <c r="B7" t="s">
        <v>39</v>
      </c>
      <c r="C7">
        <v>114500</v>
      </c>
      <c r="D7" t="s">
        <v>5</v>
      </c>
      <c r="E7" t="s">
        <v>40</v>
      </c>
    </row>
    <row r="8" spans="1:5" x14ac:dyDescent="0.45">
      <c r="A8" s="1">
        <v>45996</v>
      </c>
      <c r="B8" t="s">
        <v>18</v>
      </c>
      <c r="C8">
        <v>120200</v>
      </c>
      <c r="D8" t="s">
        <v>5</v>
      </c>
      <c r="E8" t="s">
        <v>40</v>
      </c>
    </row>
    <row r="9" spans="1:5" x14ac:dyDescent="0.45">
      <c r="A9" s="1">
        <v>45996</v>
      </c>
      <c r="B9" t="s">
        <v>41</v>
      </c>
      <c r="C9">
        <v>117700</v>
      </c>
      <c r="D9" t="s">
        <v>5</v>
      </c>
      <c r="E9" t="s">
        <v>40</v>
      </c>
    </row>
    <row r="10" spans="1:5" x14ac:dyDescent="0.45">
      <c r="A10" s="1">
        <v>45999</v>
      </c>
      <c r="B10" t="s">
        <v>37</v>
      </c>
      <c r="C10">
        <v>110300</v>
      </c>
      <c r="D10" t="s">
        <v>5</v>
      </c>
      <c r="E10" t="s">
        <v>40</v>
      </c>
    </row>
    <row r="11" spans="1:5" x14ac:dyDescent="0.45">
      <c r="A11" s="1">
        <v>45999</v>
      </c>
      <c r="B11" t="s">
        <v>39</v>
      </c>
      <c r="C11">
        <v>106800</v>
      </c>
      <c r="D11" t="s">
        <v>5</v>
      </c>
      <c r="E11" t="s">
        <v>42</v>
      </c>
    </row>
    <row r="12" spans="1:5" x14ac:dyDescent="0.45">
      <c r="A12" s="1">
        <v>45999</v>
      </c>
      <c r="B12" t="s">
        <v>18</v>
      </c>
      <c r="C12">
        <v>120200</v>
      </c>
      <c r="D12" t="s">
        <v>5</v>
      </c>
      <c r="E12" t="s">
        <v>40</v>
      </c>
    </row>
    <row r="13" spans="1:5" x14ac:dyDescent="0.45">
      <c r="A13" s="1">
        <v>45999</v>
      </c>
      <c r="B13" t="s">
        <v>41</v>
      </c>
      <c r="C13">
        <v>117700</v>
      </c>
      <c r="D13" t="s">
        <v>5</v>
      </c>
      <c r="E1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Курсы</vt:lpstr>
      <vt:lpstr>Конкуренты</vt:lpstr>
      <vt:lpstr>НПЗ</vt:lpstr>
      <vt:lpstr>Петропавловск-Камчатский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2025-12-04T03:21:18Z</dcterms:created>
  <dcterms:modified xsi:type="dcterms:W3CDTF">2025-12-08T09:18:57Z</dcterms:modified>
</cp:coreProperties>
</file>